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 компании" sheetId="1" state="visible" r:id="rId1"/>
    <sheet xmlns:r="http://schemas.openxmlformats.org/officeDocument/2006/relationships" name="Каталог продукции" sheetId="2" state="visible" r:id="rId2"/>
    <sheet xmlns:r="http://schemas.openxmlformats.org/officeDocument/2006/relationships" name="Список сотрудников" sheetId="3" state="visible" r:id="rId3"/>
    <sheet xmlns:r="http://schemas.openxmlformats.org/officeDocument/2006/relationships" name="Клиенты и контракты" sheetId="4" state="visible" r:id="rId4"/>
    <sheet xmlns:r="http://schemas.openxmlformats.org/officeDocument/2006/relationships" name="Технический глоссари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 ₽"/>
    <numFmt numFmtId="166" formatCode="$#,##0"/>
    <numFmt numFmtId="167" formatCode="yyyy-mm-dd"/>
    <numFmt numFmtId="168" formatCode="DD.MM.YYYY"/>
    <numFmt numFmtId="169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E3F2FD"/>
      </patternFill>
    </fill>
    <fill>
      <patternFill patternType="solid">
        <fgColor rgb="00FFF2C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1" pivotButton="0" quotePrefix="0" xfId="0"/>
    <xf numFmtId="0" fontId="7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8" fillId="0" borderId="1" pivotButton="0" quotePrefix="0" xfId="0"/>
    <xf numFmtId="165" fontId="8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9" fillId="0" borderId="0" applyAlignment="1" pivotButton="0" quotePrefix="0" xfId="0">
      <alignment vertical="top" wrapText="1"/>
    </xf>
    <xf numFmtId="168" fontId="5" fillId="0" borderId="1" applyAlignment="1" pivotButton="0" quotePrefix="0" xfId="0">
      <alignment vertical="top" wrapText="1"/>
    </xf>
    <xf numFmtId="169" fontId="5" fillId="0" borderId="1" applyAlignment="1" pivotButton="0" quotePrefix="0" xfId="0">
      <alignment vertical="top" wrapText="1"/>
    </xf>
    <xf numFmtId="169" fontId="8" fillId="0" borderId="1" pivotButton="0" quotePrefix="0" xfId="0"/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6" fontId="8" fillId="0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42" customHeight="1">
      <c r="A1" s="1" t="inlineStr">
        <is>
          <t>ООО «Глобал Трейд Системз» — Годовой отчёт за 2024 год</t>
        </is>
      </c>
    </row>
    <row r="2">
      <c r="A2" s="2" t="inlineStr">
        <is>
          <t>Подготовлено финансовым отделом | Дата: 15 марта 2025 г.</t>
        </is>
      </c>
    </row>
    <row r="4">
      <c r="A4" s="3" t="inlineStr">
        <is>
          <t>1. Основные финансовые показатели</t>
        </is>
      </c>
    </row>
    <row r="5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Изменение (%)</t>
        </is>
      </c>
      <c r="G5" s="4" t="inlineStr">
        <is>
          <t>Примечание</t>
        </is>
      </c>
    </row>
    <row r="6">
      <c r="A6" s="5" t="inlineStr">
        <is>
          <t>Выручка</t>
        </is>
      </c>
      <c r="B6" s="6" t="inlineStr">
        <is>
          <t>млн ₽</t>
        </is>
      </c>
      <c r="C6" s="6" t="n">
        <v>1250.5</v>
      </c>
      <c r="D6" s="6" t="n">
        <v>1480.3</v>
      </c>
      <c r="E6" s="6" t="n">
        <v>1720.8</v>
      </c>
      <c r="F6" s="7">
        <f>(E6-D6)/D6</f>
        <v/>
      </c>
      <c r="G6" s="6" t="inlineStr">
        <is>
          <t>Рост за счёт новых контрактов</t>
        </is>
      </c>
    </row>
    <row r="7">
      <c r="A7" s="5" t="inlineStr">
        <is>
          <t>Себестоимость продаж</t>
        </is>
      </c>
      <c r="B7" s="6" t="inlineStr">
        <is>
          <t>млн ₽</t>
        </is>
      </c>
      <c r="C7" s="6" t="n">
        <v>875.4</v>
      </c>
      <c r="D7" s="6" t="n">
        <v>1010.2</v>
      </c>
      <c r="E7" s="6" t="n">
        <v>1150.6</v>
      </c>
      <c r="F7" s="7">
        <f>(E7-D7)/D7</f>
        <v/>
      </c>
      <c r="G7" s="6" t="inlineStr">
        <is>
          <t>Увеличение цен на сырьё</t>
        </is>
      </c>
    </row>
    <row r="8">
      <c r="A8" s="5" t="inlineStr">
        <is>
          <t>Валовая прибыль</t>
        </is>
      </c>
      <c r="B8" s="6" t="inlineStr">
        <is>
          <t>млн ₽</t>
        </is>
      </c>
      <c r="C8" s="6" t="n">
        <v>375.1</v>
      </c>
      <c r="D8" s="6" t="n">
        <v>470.1</v>
      </c>
      <c r="E8" s="6" t="n">
        <v>570.2</v>
      </c>
      <c r="F8" s="7">
        <f>(E8-D8)/D8</f>
        <v/>
      </c>
      <c r="G8" s="6">
        <f>C8-C9 (формула ниже)</f>
        <v/>
      </c>
    </row>
    <row r="9">
      <c r="A9" s="5" t="inlineStr">
        <is>
          <t>Операционные расходы</t>
        </is>
      </c>
      <c r="B9" s="6" t="inlineStr">
        <is>
          <t>млн ₽</t>
        </is>
      </c>
      <c r="C9" s="6" t="n">
        <v>180.2</v>
      </c>
      <c r="D9" s="6" t="n">
        <v>210.5</v>
      </c>
      <c r="E9" s="6" t="n">
        <v>245.8</v>
      </c>
      <c r="F9" s="7">
        <f>(E9-D9)/D9</f>
        <v/>
      </c>
      <c r="G9" s="6" t="inlineStr">
        <is>
          <t>Включая амортизацию</t>
        </is>
      </c>
    </row>
    <row r="10">
      <c r="A10" s="5" t="inlineStr">
        <is>
          <t>Чистая прибыль</t>
        </is>
      </c>
      <c r="B10" s="6" t="inlineStr">
        <is>
          <t>млн ₽</t>
        </is>
      </c>
      <c r="C10" s="6" t="n">
        <v>145.6</v>
      </c>
      <c r="D10" s="6" t="n">
        <v>198.3</v>
      </c>
      <c r="E10" s="6" t="n">
        <v>258.4</v>
      </c>
      <c r="F10" s="7">
        <f>(E10-D10)/D10</f>
        <v/>
      </c>
      <c r="G10" s="6" t="inlineStr">
        <is>
          <t>После налога на прибыль</t>
        </is>
      </c>
    </row>
    <row r="11">
      <c r="A11" s="5" t="inlineStr">
        <is>
          <t>Рентабельность продаж</t>
        </is>
      </c>
      <c r="B11" s="6" t="inlineStr">
        <is>
          <t>%</t>
        </is>
      </c>
      <c r="C11" s="7" t="n">
        <v>0.116</v>
      </c>
      <c r="D11" s="7" t="n">
        <v>0.134</v>
      </c>
      <c r="E11" s="7" t="n">
        <v>0.15</v>
      </c>
      <c r="F11" s="7">
        <f>(E11-D11)/D11</f>
        <v/>
      </c>
      <c r="G11" s="6" t="inlineStr">
        <is>
          <t>Положительная динамика</t>
        </is>
      </c>
    </row>
    <row r="12">
      <c r="A12" s="5" t="inlineStr">
        <is>
          <t>Количество сотрудников</t>
        </is>
      </c>
      <c r="B12" s="6" t="inlineStr">
        <is>
          <t>чел.</t>
        </is>
      </c>
      <c r="C12" s="6" t="n">
        <v>342</v>
      </c>
      <c r="D12" s="6" t="n">
        <v>415</v>
      </c>
      <c r="E12" s="6" t="n">
        <v>487</v>
      </c>
      <c r="F12" s="7">
        <f>(E12-D12)/D12</f>
        <v/>
      </c>
      <c r="G12" s="6" t="inlineStr">
        <is>
          <t>Штатная численность на 31.12</t>
        </is>
      </c>
    </row>
    <row r="13">
      <c r="A13" s="5" t="inlineStr">
        <is>
          <t>Средняя заработная плата</t>
        </is>
      </c>
      <c r="B13" s="6" t="inlineStr">
        <is>
          <t>₽/мес</t>
        </is>
      </c>
      <c r="C13" s="6" t="n">
        <v>85400</v>
      </c>
      <c r="D13" s="6" t="n">
        <v>92600</v>
      </c>
      <c r="E13" s="6" t="n">
        <v>101500</v>
      </c>
      <c r="F13" s="7">
        <f>(E13-D13)/D13</f>
        <v/>
      </c>
      <c r="G13" s="6" t="inlineStr">
        <is>
          <t>Рост на 9.6% г/г</t>
        </is>
      </c>
    </row>
    <row r="15">
      <c r="A15" s="3" t="inlineStr">
        <is>
          <t>2. Контактная информация</t>
        </is>
      </c>
    </row>
    <row r="16">
      <c r="A16" s="4" t="inlineStr">
        <is>
          <t>Должность</t>
        </is>
      </c>
      <c r="B16" s="4" t="inlineStr">
        <is>
          <t>ФИО</t>
        </is>
      </c>
      <c r="C16" s="4" t="inlineStr">
        <is>
          <t>Телефон</t>
        </is>
      </c>
      <c r="D16" s="4" t="inlineStr">
        <is>
          <t>Электронная почта / Ссылка</t>
        </is>
      </c>
      <c r="E16" s="4" t="inlineStr">
        <is>
          <t>Комментарий</t>
        </is>
      </c>
    </row>
    <row r="17">
      <c r="A17" s="8" t="inlineStr">
        <is>
          <t>Генеральный директор</t>
        </is>
      </c>
      <c r="B17" s="8" t="inlineStr">
        <is>
          <t>Алексей Владимирович Петров</t>
        </is>
      </c>
      <c r="C17" s="8" t="inlineStr">
        <is>
          <t>+7 (495) 555-12-34</t>
        </is>
      </c>
      <c r="D17" s="8" t="inlineStr">
        <is>
          <t>a.petrov@globaltradesys.ru</t>
        </is>
      </c>
      <c r="E17" s="8" t="inlineStr"/>
    </row>
    <row r="18">
      <c r="A18" s="8" t="inlineStr">
        <is>
          <t>Финансовый директор</t>
        </is>
      </c>
      <c r="B18" s="8" t="inlineStr">
        <is>
          <t>Елена Сергеевна Козлова</t>
        </is>
      </c>
      <c r="C18" s="8" t="inlineStr">
        <is>
          <t>+7 (495) 555-12-35</t>
        </is>
      </c>
      <c r="D18" s="8" t="inlineStr">
        <is>
          <t>e.kozlova@globaltradesys.ru</t>
        </is>
      </c>
      <c r="E18" s="8" t="inlineStr"/>
    </row>
    <row r="19">
      <c r="A19" s="8" t="inlineStr">
        <is>
          <t>Главный бухгалтер</t>
        </is>
      </c>
      <c r="B19" s="8" t="inlineStr">
        <is>
          <t>Ольга Николаевна Семёнова</t>
        </is>
      </c>
      <c r="C19" s="8" t="inlineStr">
        <is>
          <t>+7 (495) 555-12-36</t>
        </is>
      </c>
      <c r="D19" s="8" t="inlineStr">
        <is>
          <t>o.semenova@globaltradesys.ru</t>
        </is>
      </c>
      <c r="E19" s="8" t="inlineStr"/>
    </row>
    <row r="20">
      <c r="A20" s="8" t="inlineStr">
        <is>
          <t>ИТ-директор</t>
        </is>
      </c>
      <c r="B20" s="8" t="inlineStr">
        <is>
          <t>Дмитрий Александрович Волков</t>
        </is>
      </c>
      <c r="C20" s="8" t="inlineStr">
        <is>
          <t>+7 (495) 555-12-37</t>
        </is>
      </c>
      <c r="D20" s="8" t="inlineStr">
        <is>
          <t>d.volkov@globaltradesys.ru</t>
        </is>
      </c>
      <c r="E20" s="8" t="inlineStr"/>
    </row>
    <row r="21">
      <c r="A21" s="8" t="inlineStr">
        <is>
          <t>Юридический отдел</t>
        </is>
      </c>
      <c r="B21" s="8" t="inlineStr">
        <is>
          <t>Анна Игоревна Морозова</t>
        </is>
      </c>
      <c r="C21" s="8" t="inlineStr">
        <is>
          <t>+7 (495) 555-12-38</t>
        </is>
      </c>
      <c r="D21" s="8" t="inlineStr">
        <is>
          <t>legal@globaltradesys.ru</t>
        </is>
      </c>
      <c r="E21" s="8" t="inlineStr"/>
    </row>
    <row r="22">
      <c r="A22" s="8" t="inlineStr">
        <is>
          <t>Отдел закупок</t>
        </is>
      </c>
      <c r="B22" s="8" t="inlineStr">
        <is>
          <t>Иван Петрович Новиков</t>
        </is>
      </c>
      <c r="C22" s="8" t="inlineStr">
        <is>
          <t>+7 (495) 555-12-39</t>
        </is>
      </c>
      <c r="D22" s="8" t="inlineStr">
        <is>
          <t>procurement@globaltradesys.ru</t>
        </is>
      </c>
      <c r="E22" s="8" t="inlineStr"/>
    </row>
    <row r="23">
      <c r="A23" s="8" t="inlineStr">
        <is>
          <t>Веб-сайт компании</t>
        </is>
      </c>
      <c r="B23" s="8" t="inlineStr"/>
      <c r="C23" s="8" t="inlineStr"/>
      <c r="D23" s="8" t="inlineStr">
        <is>
          <t>https://www.globaltradesys.ru</t>
        </is>
      </c>
      <c r="E23" s="8" t="inlineStr"/>
    </row>
    <row r="24">
      <c r="A24" s="8" t="inlineStr">
        <is>
          <t>Портал для инвесторов</t>
        </is>
      </c>
      <c r="B24" s="8" t="inlineStr"/>
      <c r="C24" s="8" t="inlineStr"/>
      <c r="D24" s="8" t="inlineStr">
        <is>
          <t>https://ir.globaltradesys.ru/reports/2024</t>
        </is>
      </c>
      <c r="E24" s="8" t="inlineStr"/>
    </row>
    <row r="26">
      <c r="A26" s="3" t="inlineStr">
        <is>
          <t>3. Юридические реквизиты</t>
        </is>
      </c>
    </row>
    <row r="27">
      <c r="A27" s="9" t="inlineStr">
        <is>
          <t>ИНН</t>
        </is>
      </c>
      <c r="B27" s="8" t="inlineStr">
        <is>
          <t>7701234567</t>
        </is>
      </c>
    </row>
    <row r="28">
      <c r="A28" s="9" t="inlineStr">
        <is>
          <t>КПП</t>
        </is>
      </c>
      <c r="B28" s="8" t="inlineStr">
        <is>
          <t>770101001</t>
        </is>
      </c>
    </row>
    <row r="29">
      <c r="A29" s="9" t="inlineStr">
        <is>
          <t>ОГРН</t>
        </is>
      </c>
      <c r="B29" s="8" t="inlineStr">
        <is>
          <t>1027700132195</t>
        </is>
      </c>
    </row>
    <row r="30">
      <c r="A30" s="9" t="inlineStr">
        <is>
          <t>Расчётный счёт</t>
        </is>
      </c>
      <c r="B30" s="8" t="inlineStr">
        <is>
          <t>40702810500000012345</t>
        </is>
      </c>
    </row>
    <row r="31">
      <c r="A31" s="9" t="inlineStr">
        <is>
          <t>Банк</t>
        </is>
      </c>
      <c r="B31" s="8" t="inlineStr">
        <is>
          <t>АО «Альфа-Банк»</t>
        </is>
      </c>
    </row>
    <row r="32">
      <c r="A32" s="9" t="inlineStr">
        <is>
          <t>БИК</t>
        </is>
      </c>
      <c r="B32" s="8" t="inlineStr">
        <is>
          <t>044525593</t>
        </is>
      </c>
    </row>
    <row r="33">
      <c r="A33" s="9" t="inlineStr">
        <is>
          <t>Юридический адрес</t>
        </is>
      </c>
      <c r="B33" s="8" t="inlineStr">
        <is>
          <t>Россия, 125009, г. Москва, ул. Тверская, д. 22, стр. 1, офис 415</t>
        </is>
      </c>
    </row>
    <row r="34">
      <c r="A34" s="9" t="inlineStr">
        <is>
          <t>Дата регистрации</t>
        </is>
      </c>
      <c r="B34" s="8" t="inlineStr">
        <is>
          <t>15.03.2008</t>
        </is>
      </c>
    </row>
    <row r="35">
      <c r="A35" s="9" t="inlineStr">
        <is>
          <t>Версия устава</t>
        </is>
      </c>
      <c r="B35" s="8" t="inlineStr">
        <is>
          <t>3.2.1</t>
        </is>
      </c>
    </row>
    <row r="36">
      <c r="A36" s="9" t="inlineStr">
        <is>
          <t>Код ОКВЭД</t>
        </is>
      </c>
      <c r="B36" s="8" t="inlineStr">
        <is>
          <t>46.90</t>
        </is>
      </c>
    </row>
  </sheetData>
  <mergeCells count="5">
    <mergeCell ref="A1:G1"/>
    <mergeCell ref="A4:G4"/>
    <mergeCell ref="A26:G26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4" customWidth="1" min="5" max="5"/>
    <col width="10" customWidth="1" min="6" max="6"/>
    <col width="10" customWidth="1" min="7" max="7"/>
    <col width="20" customWidth="1" min="8" max="8"/>
    <col width="20" customWidth="1" min="9" max="9"/>
    <col width="38" customWidth="1" min="10" max="10"/>
  </cols>
  <sheetData>
    <row r="1" ht="36" customHeight="1">
      <c r="A1" s="10" t="inlineStr">
        <is>
          <t>Каталог продукции и услуг — 2024/2025</t>
        </is>
      </c>
    </row>
    <row r="2">
      <c r="A2" s="4" t="inlineStr">
        <is>
          <t>Артикул</t>
        </is>
      </c>
      <c r="B2" s="4" t="inlineStr">
        <is>
          <t>Наименование товара</t>
        </is>
      </c>
      <c r="C2" s="4" t="inlineStr">
        <is>
          <t>Категория</t>
        </is>
      </c>
      <c r="D2" s="4" t="inlineStr">
        <is>
          <t>Описание</t>
        </is>
      </c>
      <c r="E2" s="4" t="inlineStr">
        <is>
          <t>Цена (₽)</t>
        </is>
      </c>
      <c r="F2" s="4" t="inlineStr">
        <is>
          <t>Цена ($)</t>
        </is>
      </c>
      <c r="G2" s="4" t="inlineStr">
        <is>
          <t>Кол-во на складе</t>
        </is>
      </c>
      <c r="H2" s="4" t="inlineStr">
        <is>
          <t>Поставщик</t>
        </is>
      </c>
      <c r="I2" s="4" t="inlineStr">
        <is>
          <t>Сертификат</t>
        </is>
      </c>
      <c r="J2" s="4" t="inlineStr">
        <is>
          <t>Ссылка на спецификацию</t>
        </is>
      </c>
    </row>
    <row r="3">
      <c r="A3" s="11" t="inlineStr">
        <is>
          <t>GTS-001</t>
        </is>
      </c>
      <c r="B3" s="11" t="inlineStr">
        <is>
          <t>Промышленный контроллер серии «Автоматика-М»</t>
        </is>
      </c>
      <c r="C3" s="11" t="inlineStr">
        <is>
          <t>Автоматизация</t>
        </is>
      </c>
      <c r="D3" s="11" t="inlineStr">
        <is>
          <t>Многоканальный программируемый контроллер для управления технологическими процессами. Поддержка протоколов Modbus RTU/TCP, Profinet.</t>
        </is>
      </c>
      <c r="E3" s="12" t="n">
        <v>245000</v>
      </c>
      <c r="F3" s="13" t="n">
        <v>2680</v>
      </c>
      <c r="G3" s="14" t="n">
        <v>48</v>
      </c>
      <c r="H3" s="11" t="inlineStr">
        <is>
          <t>ООО «Электроавтоматика»</t>
        </is>
      </c>
      <c r="I3" s="11" t="inlineStr">
        <is>
          <t>ГОСТ Р 52931-2008</t>
        </is>
      </c>
      <c r="J3" s="11" t="inlineStr">
        <is>
          <t>https://docs.globaltradesys.ru/spec/GTS-001</t>
        </is>
      </c>
    </row>
    <row r="4">
      <c r="A4" s="11" t="inlineStr">
        <is>
          <t>GTS-002A</t>
        </is>
      </c>
      <c r="B4" s="11" t="inlineStr">
        <is>
          <t>Датчик давления ДМ-2010 (высокоточный)</t>
        </is>
      </c>
      <c r="C4" s="11" t="inlineStr">
        <is>
          <t>Контрольно-измерительные приборы</t>
        </is>
      </c>
      <c r="D4" s="11" t="inlineStr">
        <is>
          <t>Диапазон: 0-25 МПа, погрешность ±0.1%, выход 4-20 мА. Корпус из нержавеющей стали 316L.</t>
        </is>
      </c>
      <c r="E4" s="12" t="n">
        <v>18500</v>
      </c>
      <c r="F4" s="13" t="n">
        <v>203</v>
      </c>
      <c r="G4" s="14" t="n">
        <v>215</v>
      </c>
      <c r="H4" s="11" t="inlineStr">
        <is>
          <t>АО «Метран»</t>
        </is>
      </c>
      <c r="I4" s="11" t="inlineStr">
        <is>
          <t>ISO 9001:2015</t>
        </is>
      </c>
      <c r="J4" s="11" t="inlineStr">
        <is>
          <t>https://docs.globaltradesys.ru/spec/GTS-002A</t>
        </is>
      </c>
    </row>
    <row r="5">
      <c r="A5" s="11" t="inlineStr">
        <is>
          <t>GTS-003</t>
        </is>
      </c>
      <c r="B5" s="11" t="inlineStr">
        <is>
          <t>Электропривод ЭПР-500 (взрывозащищённый)</t>
        </is>
      </c>
      <c r="C5" s="11" t="inlineStr">
        <is>
          <t>Приводы и электродвигатели</t>
        </is>
      </c>
      <c r="D5" s="11" t="inlineStr">
        <is>
          <t>Мощность: 5.5 кВт, степень защиты IP67, класс взрывозащиты Ex d IIB T4. Рабочая температура: -40°C...+60°C.</t>
        </is>
      </c>
      <c r="E5" s="12" t="n">
        <v>385000</v>
      </c>
      <c r="F5" s="13" t="n">
        <v>4220</v>
      </c>
      <c r="G5" s="14" t="n">
        <v>12</v>
      </c>
      <c r="H5" s="11" t="inlineStr">
        <is>
          <t>ПАО «Тулаэлектропривод»</t>
        </is>
      </c>
      <c r="I5" s="11" t="inlineStr">
        <is>
          <t>ТР ТС 012/2011</t>
        </is>
      </c>
      <c r="J5" s="11" t="inlineStr">
        <is>
          <t>https://docs.globaltradesys.ru/spec/GTS-003</t>
        </is>
      </c>
    </row>
    <row r="6">
      <c r="A6" s="11" t="inlineStr">
        <is>
          <t>GTS-004B</t>
        </is>
      </c>
      <c r="B6" s="11" t="inlineStr">
        <is>
          <t>Система видеонаблюдения «Периметр-360»</t>
        </is>
      </c>
      <c r="C6" s="11" t="inlineStr">
        <is>
          <t>Безопасность</t>
        </is>
      </c>
      <c r="D6" s="11" t="inlineStr">
        <is>
          <t>Комплект: 8 камер FullHD + регистратор + монитор 27". Ночное видение до 50м. Защита от вандализма IK10.</t>
        </is>
      </c>
      <c r="E6" s="12" t="n">
        <v>520000</v>
      </c>
      <c r="F6" s="13" t="n">
        <v>5700</v>
      </c>
      <c r="G6" s="14" t="n">
        <v>8</v>
      </c>
      <c r="H6" s="11" t="inlineStr">
        <is>
          <t>ООО «Видеоинтеллект»</t>
        </is>
      </c>
      <c r="I6" s="11" t="inlineStr">
        <is>
          <t>ГОСТ Р 51558-2014</t>
        </is>
      </c>
      <c r="J6" s="11" t="inlineStr">
        <is>
          <t>https://docs.globaltradesys.ru/spec/GTS-004B</t>
        </is>
      </c>
    </row>
    <row r="7">
      <c r="A7" s="11" t="inlineStr">
        <is>
          <t>GTS-005</t>
        </is>
      </c>
      <c r="B7" s="11" t="inlineStr">
        <is>
          <t>Программное обеспечение «СКАДА-Мастер» v4.2</t>
        </is>
      </c>
      <c r="C7" s="11" t="inlineStr">
        <is>
          <t>Программное обеспечение</t>
        </is>
      </c>
      <c r="D7" s="11" t="inlineStr">
        <is>
          <t>SCADA-система для мониторинга и управления промышленными объектами. Поддержка до 100 000 тегов. Встроенный OPC UA сервер.</t>
        </is>
      </c>
      <c r="E7" s="12" t="n">
        <v>980000</v>
      </c>
      <c r="F7" s="13" t="n">
        <v>10750</v>
      </c>
      <c r="G7" s="14" t="n">
        <v>999</v>
      </c>
      <c r="H7" s="11" t="inlineStr">
        <is>
          <t>АО «Инфосистемы Джет»</t>
        </is>
      </c>
      <c r="I7" s="11" t="inlineStr">
        <is>
          <t>Реестр отечественного ПО №12345</t>
        </is>
      </c>
      <c r="J7" s="11" t="inlineStr">
        <is>
          <t>https://scada-master.ru/docs/v4.2</t>
        </is>
      </c>
    </row>
    <row r="8">
      <c r="A8" s="11" t="inlineStr">
        <is>
          <t>GTS-006</t>
        </is>
      </c>
      <c r="B8" s="11" t="inlineStr">
        <is>
          <t>Источник бесперебойного питания ИБП-10000</t>
        </is>
      </c>
      <c r="C8" s="11" t="inlineStr">
        <is>
          <t>Электроснабжение</t>
        </is>
      </c>
      <c r="D8" s="11" t="inlineStr">
        <is>
          <t>Мощность: 10 кВА/9 кВт. Онлайн-топология двойного преобразования. Время автономной работы: 15 мин при полной нагрузке.</t>
        </is>
      </c>
      <c r="E8" s="12" t="n">
        <v>175000</v>
      </c>
      <c r="F8" s="13" t="n">
        <v>1920</v>
      </c>
      <c r="G8" s="14" t="n">
        <v>34</v>
      </c>
      <c r="H8" s="11" t="inlineStr">
        <is>
          <t>ООО «Энергия+»</t>
        </is>
      </c>
      <c r="I8" s="11" t="inlineStr">
        <is>
          <t>IEC 62040-3</t>
        </is>
      </c>
      <c r="J8" s="11" t="inlineStr">
        <is>
          <t>https://docs.globaltradesys.ru/spec/GTS-006</t>
        </is>
      </c>
    </row>
    <row r="9">
      <c r="A9" s="11" t="inlineStr">
        <is>
          <t>GTS-007C</t>
        </is>
      </c>
      <c r="B9" s="11" t="inlineStr">
        <is>
          <t>Кабель силовой ВВГнг(А)-LS 5×16</t>
        </is>
      </c>
      <c r="C9" s="11" t="inlineStr">
        <is>
          <t>Кабельная продукция</t>
        </is>
      </c>
      <c r="D9" s="11" t="inlineStr">
        <is>
          <t>Медный силовой кабель с ПВХ-изоляцией, негорючий, с низким дымо- и газовыделением. Бухта 100 м.</t>
        </is>
      </c>
      <c r="E9" s="12" t="n">
        <v>42300</v>
      </c>
      <c r="F9" s="13" t="n">
        <v>464</v>
      </c>
      <c r="G9" s="14" t="n">
        <v>520</v>
      </c>
      <c r="H9" s="11" t="inlineStr">
        <is>
          <t>АО «Электрокабель»</t>
        </is>
      </c>
      <c r="I9" s="11" t="inlineStr">
        <is>
          <t>ГОСТ 31996-2012</t>
        </is>
      </c>
      <c r="J9" s="11" t="inlineStr"/>
    </row>
    <row r="10">
      <c r="A10" s="11" t="inlineStr">
        <is>
          <t>GTS-008</t>
        </is>
      </c>
      <c r="B10" s="11" t="inlineStr">
        <is>
          <t>Шкаф управления ШУ-250 (климатическое исполнение)</t>
        </is>
      </c>
      <c r="C10" s="11" t="inlineStr">
        <is>
          <t>Электрооборудование</t>
        </is>
      </c>
      <c r="D10" s="11" t="inlineStr">
        <is>
          <t>Металлический шкаф с обогревом и вентиляцией для наружного размещения. Габариты: 1200×800×400 мм. IP65.</t>
        </is>
      </c>
      <c r="E10" s="12" t="n">
        <v>290000</v>
      </c>
      <c r="F10" s="13" t="n">
        <v>3180</v>
      </c>
      <c r="G10" s="14" t="n">
        <v>6</v>
      </c>
      <c r="H10" s="11" t="inlineStr">
        <is>
          <t>ООО «Электрощит»</t>
        </is>
      </c>
      <c r="I10" s="11" t="inlineStr">
        <is>
          <t>ГОСТ Р МЭК 61439-1-2013</t>
        </is>
      </c>
      <c r="J10" s="11" t="inlineStr">
        <is>
          <t>https://docs.globaltradesys.ru/spec/GTS-008</t>
        </is>
      </c>
    </row>
    <row r="11">
      <c r="A11" s="11" t="inlineStr">
        <is>
          <t>GTS-009</t>
        </is>
      </c>
      <c r="B11" s="11" t="inlineStr">
        <is>
          <t>Услуга: пусконаладочные работы (стандартный пакет)</t>
        </is>
      </c>
      <c r="C11" s="11" t="inlineStr">
        <is>
          <t>Услуги</t>
        </is>
      </c>
      <c r="D11" s="11" t="inlineStr">
        <is>
          <t>Монтаж, подключение, программирование и тестирование оборудования на объекте заказчика. Срок: 5–10 рабочих дней.</t>
        </is>
      </c>
      <c r="E11" s="12" t="n">
        <v>150000</v>
      </c>
      <c r="F11" s="13" t="n">
        <v>1645</v>
      </c>
      <c r="G11" s="14" t="n"/>
      <c r="H11" s="11" t="inlineStr">
        <is>
          <t>Собственные специалисты</t>
        </is>
      </c>
      <c r="I11" s="11" t="inlineStr">
        <is>
          <t>СРО-С-150-31122024</t>
        </is>
      </c>
      <c r="J11" s="11" t="inlineStr"/>
    </row>
    <row r="12">
      <c r="A12" s="11" t="inlineStr">
        <is>
          <t>GTS-010</t>
        </is>
      </c>
      <c r="B12" s="11" t="inlineStr">
        <is>
          <t>Услуга: годовое техническое обслуживание</t>
        </is>
      </c>
      <c r="C12" s="11" t="inlineStr">
        <is>
          <t>Услуги</t>
        </is>
      </c>
      <c r="D12" s="11" t="inlineStr">
        <is>
          <t>Плановое ТО 4 раза в год + экстренный выезд в течение 4 часов. Включает замену расходных материалов.</t>
        </is>
      </c>
      <c r="E12" s="12" t="n">
        <v>360000</v>
      </c>
      <c r="F12" s="13" t="n">
        <v>3950</v>
      </c>
      <c r="G12" s="14" t="n"/>
      <c r="H12" s="11" t="inlineStr">
        <is>
          <t>Собственные специалисты</t>
        </is>
      </c>
      <c r="I12" s="11" t="inlineStr">
        <is>
          <t>Договор ТО-2024/87</t>
        </is>
      </c>
      <c r="J12" s="11" t="inlineStr"/>
    </row>
    <row r="13">
      <c r="A13" s="11" t="inlineStr">
        <is>
          <t>GTS-011D</t>
        </is>
      </c>
      <c r="B13" s="11" t="inlineStr">
        <is>
          <t>Модуль ввода-вывода аналоговый МВА-16</t>
        </is>
      </c>
      <c r="C13" s="11" t="inlineStr">
        <is>
          <t>Автоматизация</t>
        </is>
      </c>
      <c r="D13" s="11" t="inlineStr">
        <is>
          <t>16 каналов AI (0-10В / 4-20мА), 8 каналов AO. Гальваническая развязка 1500В. Крепление на DIN-рейку.</t>
        </is>
      </c>
      <c r="E13" s="12" t="n">
        <v>67800</v>
      </c>
      <c r="F13" s="13" t="n">
        <v>743</v>
      </c>
      <c r="G13" s="14" t="n">
        <v>89</v>
      </c>
      <c r="H13" s="11" t="inlineStr">
        <is>
          <t>ООО «Электроавтоматика»</t>
        </is>
      </c>
      <c r="I13" s="11" t="inlineStr">
        <is>
          <t>ГОСТ Р 52931-2008</t>
        </is>
      </c>
      <c r="J13" s="11" t="inlineStr">
        <is>
          <t>https://docs.globaltradesys.ru/spec/GTS-011D</t>
        </is>
      </c>
    </row>
    <row r="14">
      <c r="A14" s="11" t="inlineStr">
        <is>
          <t>GTS-012</t>
        </is>
      </c>
      <c r="B14" s="11" t="inlineStr">
        <is>
          <t>Трансформатор тока ТТИ-А 400/5</t>
        </is>
      </c>
      <c r="C14" s="11" t="inlineStr">
        <is>
          <t>Контрольно-измерительные приборы</t>
        </is>
      </c>
      <c r="D14" s="11" t="inlineStr">
        <is>
          <t>Номинальный первичный ток: 400А, вторичный: 5А, класс точности 0.5S. Для коммерческого учёта электроэнергии.</t>
        </is>
      </c>
      <c r="E14" s="12" t="n">
        <v>8900</v>
      </c>
      <c r="F14" s="13" t="n">
        <v>98</v>
      </c>
      <c r="G14" s="14" t="n">
        <v>340</v>
      </c>
      <c r="H14" s="11" t="inlineStr">
        <is>
          <t>ПАО «Электроприбор»</t>
        </is>
      </c>
      <c r="I14" s="11" t="inlineStr">
        <is>
          <t>МИ 2845-2003</t>
        </is>
      </c>
      <c r="J14" s="11" t="inlineStr"/>
    </row>
    <row r="15">
      <c r="A15" s="15" t="inlineStr">
        <is>
          <t>ИТОГО</t>
        </is>
      </c>
      <c r="D15" s="15" t="inlineStr">
        <is>
          <t>Общее количество позиций:</t>
        </is>
      </c>
      <c r="E15" s="16">
        <f>SUM(E3:E14)</f>
        <v/>
      </c>
      <c r="F15" s="17">
        <f>SUM(F3:F14)</f>
        <v/>
      </c>
      <c r="G15" s="18">
        <f>SUM(G3:G14)</f>
        <v/>
      </c>
      <c r="H15" s="19">
        <f>COUNTA(A3:A14)</f>
        <v/>
      </c>
    </row>
    <row r="16">
      <c r="A16" s="20" t="inlineStr">
        <is>
          <t>Примечание: все цены указаны без НДС (20%). Актуальность прайс-листа: 01.01.2025. Запросы направлять на sales@globaltradesys.ru</t>
        </is>
      </c>
    </row>
  </sheetData>
  <mergeCells count="2">
    <mergeCell ref="A1:J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0" customWidth="1" min="4" max="4"/>
    <col width="12" customWidth="1" min="5" max="5"/>
    <col width="10" customWidth="1" min="6" max="6"/>
    <col width="14" customWidth="1" min="7" max="7"/>
    <col width="28" customWidth="1" min="8" max="8"/>
    <col width="18" customWidth="1" min="9" max="9"/>
    <col width="28" customWidth="1" min="10" max="10"/>
    <col width="32" customWidth="1" min="11" max="11"/>
  </cols>
  <sheetData>
    <row r="1">
      <c r="A1" s="10" t="inlineStr">
        <is>
          <t>Реестр сотрудников — Департамент международной торговли</t>
        </is>
      </c>
    </row>
    <row r="2">
      <c r="A2" s="4" t="inlineStr">
        <is>
          <t>Таб. №</t>
        </is>
      </c>
      <c r="B2" s="4" t="inlineStr">
        <is>
          <t>ФИО</t>
        </is>
      </c>
      <c r="C2" s="4" t="inlineStr">
        <is>
          <t>Должность</t>
        </is>
      </c>
      <c r="D2" s="4" t="inlineStr">
        <is>
          <t>Отдел</t>
        </is>
      </c>
      <c r="E2" s="4" t="inlineStr">
        <is>
          <t>Дата приёма</t>
        </is>
      </c>
      <c r="F2" s="4" t="inlineStr">
        <is>
          <t>Стаж (лет)</t>
        </is>
      </c>
      <c r="G2" s="4" t="inlineStr">
        <is>
          <t>Оклад (₽)</t>
        </is>
      </c>
      <c r="H2" s="4" t="inlineStr">
        <is>
          <t>Email</t>
        </is>
      </c>
      <c r="I2" s="4" t="inlineStr">
        <is>
          <t>Телефон</t>
        </is>
      </c>
      <c r="J2" s="4" t="inlineStr">
        <is>
          <t>Образование</t>
        </is>
      </c>
      <c r="K2" s="4" t="inlineStr">
        <is>
          <t>Примечание</t>
        </is>
      </c>
    </row>
    <row r="3">
      <c r="A3" s="11" t="inlineStr">
        <is>
          <t>EMP-0101</t>
        </is>
      </c>
      <c r="B3" s="11" t="inlineStr">
        <is>
          <t>Сидоров Максим Олегович</t>
        </is>
      </c>
      <c r="C3" s="11" t="inlineStr">
        <is>
          <t>Начальник отдела экспорта</t>
        </is>
      </c>
      <c r="D3" s="11" t="inlineStr">
        <is>
          <t>Экспортные операции</t>
        </is>
      </c>
      <c r="E3" s="21" t="n">
        <v>42073</v>
      </c>
      <c r="F3" s="22">
        <f>ROUND((TODAY()-E3)/365.25,1)</f>
        <v/>
      </c>
      <c r="G3" s="12" t="n">
        <v>185000</v>
      </c>
      <c r="H3" s="11" t="inlineStr">
        <is>
          <t>m.sidorov@globaltradesys.ru</t>
        </is>
      </c>
      <c r="I3" s="11" t="inlineStr">
        <is>
          <t>+7 (903) 111-22-33</t>
        </is>
      </c>
      <c r="J3" s="11" t="inlineStr">
        <is>
          <t>МГУ, экономический факультет</t>
        </is>
      </c>
      <c r="K3" s="11" t="inlineStr">
        <is>
          <t>Руководитель проекта «Восток-2024»</t>
        </is>
      </c>
    </row>
    <row r="4">
      <c r="A4" s="11" t="inlineStr">
        <is>
          <t>EMP-0102</t>
        </is>
      </c>
      <c r="B4" s="11" t="inlineStr">
        <is>
          <t>Ли Вэй (李伟)</t>
        </is>
      </c>
      <c r="C4" s="11" t="inlineStr">
        <is>
          <t>Менеджер по работе с китайскими партнёрами</t>
        </is>
      </c>
      <c r="D4" s="11" t="inlineStr">
        <is>
          <t>Азиатское направление</t>
        </is>
      </c>
      <c r="E4" s="21" t="n">
        <v>43303</v>
      </c>
      <c r="F4" s="22">
        <f>ROUND((TODAY()-E4)/365.25,1)</f>
        <v/>
      </c>
      <c r="G4" s="12" t="n">
        <v>145000</v>
      </c>
      <c r="H4" s="11" t="inlineStr">
        <is>
          <t>wei.li@globaltradesys.ru</t>
        </is>
      </c>
      <c r="I4" s="11" t="inlineStr">
        <is>
          <t>+7 (926) 333-44-55</t>
        </is>
      </c>
      <c r="J4" s="11" t="inlineStr">
        <is>
          <t>北京大学经济学硕士 (Пекинский университет)</t>
        </is>
      </c>
      <c r="K4" s="11" t="inlineStr">
        <is>
          <t>Свободно владеет китайским и русским языками</t>
        </is>
      </c>
    </row>
    <row r="5">
      <c r="A5" s="11" t="inlineStr">
        <is>
          <t>EMP-0103</t>
        </is>
      </c>
      <c r="B5" s="11" t="inlineStr">
        <is>
          <t>Коваленко Ирина Дмитриевна</t>
        </is>
      </c>
      <c r="C5" s="11" t="inlineStr">
        <is>
          <t>Специалист по таможенному оформлению</t>
        </is>
      </c>
      <c r="D5" s="11" t="inlineStr">
        <is>
          <t>Логистика и таможня</t>
        </is>
      </c>
      <c r="E5" s="21" t="n">
        <v>43774</v>
      </c>
      <c r="F5" s="22">
        <f>ROUND((TODAY()-E5)/365.25,1)</f>
        <v/>
      </c>
      <c r="G5" s="12" t="n">
        <v>120000</v>
      </c>
      <c r="H5" s="11" t="inlineStr">
        <is>
          <t>i.kovalenko@globaltradesys.ru</t>
        </is>
      </c>
      <c r="I5" s="11" t="inlineStr">
        <is>
          <t>+7 (916) 555-66-77</t>
        </is>
      </c>
      <c r="J5" s="11" t="inlineStr">
        <is>
          <t>РЭУ им. Плеханова</t>
        </is>
      </c>
      <c r="K5" s="11" t="inlineStr">
        <is>
          <t>Аттестат таможенного представителя №0412</t>
        </is>
      </c>
    </row>
    <row r="6">
      <c r="A6" s="11" t="inlineStr">
        <is>
          <t>EMP-0104</t>
        </is>
      </c>
      <c r="B6" s="11" t="inlineStr">
        <is>
          <t>Мюллер Ганс (Hans Müller)</t>
        </is>
      </c>
      <c r="C6" s="11" t="inlineStr">
        <is>
          <t>Консультант по европейскому рынку</t>
        </is>
      </c>
      <c r="D6" s="11" t="inlineStr">
        <is>
          <t>Европейское направление</t>
        </is>
      </c>
      <c r="E6" s="21" t="n">
        <v>43875</v>
      </c>
      <c r="F6" s="22">
        <f>ROUND((TODAY()-E6)/365.25,1)</f>
        <v/>
      </c>
      <c r="G6" s="12" t="n">
        <v>210000</v>
      </c>
      <c r="H6" s="11" t="inlineStr">
        <is>
          <t>h.muller@globaltradesys.ru</t>
        </is>
      </c>
      <c r="I6" s="11" t="inlineStr">
        <is>
          <t>+7 (495) 777-88-99</t>
        </is>
      </c>
      <c r="J6" s="11" t="inlineStr">
        <is>
          <t>Universität Heidelberg, MBA</t>
        </is>
      </c>
      <c r="K6" s="11" t="inlineStr">
        <is>
          <t>Удалённая работа (Берлин)</t>
        </is>
      </c>
    </row>
    <row r="7">
      <c r="A7" s="11" t="inlineStr">
        <is>
          <t>EMP-0105</t>
        </is>
      </c>
      <c r="B7" s="11" t="inlineStr">
        <is>
          <t>Танака Юки (田中優樹)</t>
        </is>
      </c>
      <c r="C7" s="11" t="inlineStr">
        <is>
          <t>Менеджер по развитию бизнеса (Япония)</t>
        </is>
      </c>
      <c r="D7" s="11" t="inlineStr">
        <is>
          <t>Азиатское направление</t>
        </is>
      </c>
      <c r="E7" s="21" t="n">
        <v>44287</v>
      </c>
      <c r="F7" s="22">
        <f>ROUND((TODAY()-E7)/365.25,1)</f>
        <v/>
      </c>
      <c r="G7" s="12" t="n">
        <v>155000</v>
      </c>
      <c r="H7" s="11" t="inlineStr">
        <is>
          <t>y.tanaka@globaltradesys.ru</t>
        </is>
      </c>
      <c r="I7" s="11" t="inlineStr">
        <is>
          <t>+7 (926) 222-33-44</t>
        </is>
      </c>
      <c r="J7" s="11" t="inlineStr">
        <is>
          <t>東京大学 (Токийский университет)</t>
        </is>
      </c>
      <c r="K7" s="11" t="inlineStr">
        <is>
          <t>Отвечает за проект с Mitsubishi Corp</t>
        </is>
      </c>
    </row>
    <row r="8">
      <c r="A8" s="11" t="inlineStr">
        <is>
          <t>EMP-0106</t>
        </is>
      </c>
      <c r="B8" s="11" t="inlineStr">
        <is>
          <t>Абрамова Наталья Викторовна</t>
        </is>
      </c>
      <c r="C8" s="11" t="inlineStr">
        <is>
          <t>Ведущий переводчик</t>
        </is>
      </c>
      <c r="D8" s="11" t="inlineStr">
        <is>
          <t>Служба переводов</t>
        </is>
      </c>
      <c r="E8" s="21" t="n">
        <v>42993</v>
      </c>
      <c r="F8" s="22">
        <f>ROUND((TODAY()-E8)/365.25,1)</f>
        <v/>
      </c>
      <c r="G8" s="12" t="n">
        <v>110000</v>
      </c>
      <c r="H8" s="11" t="inlineStr">
        <is>
          <t>n.abramova@globaltradesys.ru</t>
        </is>
      </c>
      <c r="I8" s="11" t="inlineStr">
        <is>
          <t>+7 (916) 444-55-66</t>
        </is>
      </c>
      <c r="J8" s="11" t="inlineStr">
        <is>
          <t>МГЛУ, переводческий факультет</t>
        </is>
      </c>
      <c r="K8" s="11" t="inlineStr">
        <is>
          <t>Языки: EN, DE, FR, ZH</t>
        </is>
      </c>
    </row>
    <row r="9">
      <c r="A9" s="11" t="inlineStr">
        <is>
          <t>EMP-0107</t>
        </is>
      </c>
      <c r="B9" s="11" t="inlineStr">
        <is>
          <t>Ким Мин Хо (김민호)</t>
        </is>
      </c>
      <c r="C9" s="11" t="inlineStr">
        <is>
          <t>Торговый представитель (Южная Корея)</t>
        </is>
      </c>
      <c r="D9" s="11" t="inlineStr">
        <is>
          <t>Азиатское направление</t>
        </is>
      </c>
      <c r="E9" s="21" t="n">
        <v>44571</v>
      </c>
      <c r="F9" s="22">
        <f>ROUND((TODAY()-E9)/365.25,1)</f>
        <v/>
      </c>
      <c r="G9" s="12" t="n">
        <v>135000</v>
      </c>
      <c r="H9" s="11" t="inlineStr">
        <is>
          <t>minho.kim@globaltradesys.ru</t>
        </is>
      </c>
      <c r="I9" s="11" t="inlineStr">
        <is>
          <t>+7 (903) 666-77-88</t>
        </is>
      </c>
      <c r="J9" s="11" t="inlineStr">
        <is>
          <t>서울대학교 (Сеульский национальный университет)</t>
        </is>
      </c>
      <c r="K9" s="11" t="inlineStr"/>
    </row>
    <row r="10">
      <c r="A10" s="11" t="inlineStr">
        <is>
          <t>EMP-0108</t>
        </is>
      </c>
      <c r="B10" s="11" t="inlineStr">
        <is>
          <t>Петренко Олег Игоревич</t>
        </is>
      </c>
      <c r="C10" s="11" t="inlineStr">
        <is>
          <t>Системный администратор</t>
        </is>
      </c>
      <c r="D10" s="11" t="inlineStr">
        <is>
          <t>ИТ-отдел</t>
        </is>
      </c>
      <c r="E10" s="21" t="n">
        <v>42522</v>
      </c>
      <c r="F10" s="22">
        <f>ROUND((TODAY()-E10)/365.25,1)</f>
        <v/>
      </c>
      <c r="G10" s="12" t="n">
        <v>130000</v>
      </c>
      <c r="H10" s="11" t="inlineStr">
        <is>
          <t>o.petrenko@globaltradesys.ru</t>
        </is>
      </c>
      <c r="I10" s="11" t="inlineStr">
        <is>
          <t>+7 (916) 888-99-00</t>
        </is>
      </c>
      <c r="J10" s="11" t="inlineStr">
        <is>
          <t>МФТИ, прикладная математика</t>
        </is>
      </c>
      <c r="K10" s="11" t="inlineStr">
        <is>
          <t>Сертификаты: CCNA, MCSE, AWS-SAA</t>
        </is>
      </c>
    </row>
    <row r="11">
      <c r="A11" s="11" t="inlineStr">
        <is>
          <t>EMP-0109</t>
        </is>
      </c>
      <c r="B11" s="11" t="inlineStr">
        <is>
          <t>Рахимова Диляра Рустамовна</t>
        </is>
      </c>
      <c r="C11" s="11" t="inlineStr">
        <is>
          <t>Экономист-аналитик</t>
        </is>
      </c>
      <c r="D11" s="11" t="inlineStr">
        <is>
          <t>Финансово-аналитический отдел</t>
        </is>
      </c>
      <c r="E11" s="21" t="n">
        <v>45005</v>
      </c>
      <c r="F11" s="22">
        <f>ROUND((TODAY()-E11)/365.25,1)</f>
        <v/>
      </c>
      <c r="G11" s="12" t="n">
        <v>105000</v>
      </c>
      <c r="H11" s="11" t="inlineStr">
        <is>
          <t>d.rakhimova@globaltradesys.ru</t>
        </is>
      </c>
      <c r="I11" s="11" t="inlineStr">
        <is>
          <t>+7 (926) 111-00-99</t>
        </is>
      </c>
      <c r="J11" s="11" t="inlineStr">
        <is>
          <t>ВШЭ, экономика</t>
        </is>
      </c>
      <c r="K11" s="11" t="inlineStr">
        <is>
          <t>Работа над отчётами МСФО</t>
        </is>
      </c>
    </row>
    <row r="12">
      <c r="A12" s="11" t="inlineStr">
        <is>
          <t>EMP-0110</t>
        </is>
      </c>
      <c r="B12" s="11" t="inlineStr">
        <is>
          <t>Джонсон Роберт (Robert Johnson)</t>
        </is>
      </c>
      <c r="C12" s="11" t="inlineStr">
        <is>
          <t>Внешний консультант</t>
        </is>
      </c>
      <c r="D12" s="11" t="inlineStr">
        <is>
          <t>Консалтинг</t>
        </is>
      </c>
      <c r="E12" s="21" t="n">
        <v>45306</v>
      </c>
      <c r="F12" s="22">
        <f>ROUND((TODAY()-E12)/365.25,1)</f>
        <v/>
      </c>
      <c r="G12" s="12" t="n">
        <v>250000</v>
      </c>
      <c r="H12" s="11" t="inlineStr">
        <is>
          <t>r.johnson@globalconsult.com</t>
        </is>
      </c>
      <c r="I12" s="11" t="inlineStr">
        <is>
          <t>+1 (212) 555-0147</t>
        </is>
      </c>
      <c r="J12" s="11" t="inlineStr">
        <is>
          <t>Harvard Business School, MBA</t>
        </is>
      </c>
      <c r="K12" s="11" t="inlineStr">
        <is>
          <t>Контракт до 31.12.2025</t>
        </is>
      </c>
    </row>
    <row r="13">
      <c r="A13" s="15" t="inlineStr">
        <is>
          <t>Итого сотрудников:</t>
        </is>
      </c>
      <c r="B13" s="15">
        <f>COUNTA(B3:B12)</f>
        <v/>
      </c>
      <c r="F13" s="15" t="inlineStr">
        <is>
          <t>Средний стаж:</t>
        </is>
      </c>
      <c r="G13" s="23">
        <f>AVERAGE(F3:F12)</f>
        <v/>
      </c>
    </row>
    <row r="14">
      <c r="F14" s="15" t="inlineStr">
        <is>
          <t>Средний оклад:</t>
        </is>
      </c>
      <c r="G14" s="16">
        <f>AVERAGE(G3:G12)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>
      <c r="A1" s="10" t="inlineStr">
        <is>
          <t>Реестр ключевых клиентов и действующих контрактов</t>
        </is>
      </c>
    </row>
    <row r="2">
      <c r="A2" s="4" t="inlineStr">
        <is>
          <t>№ Контракта</t>
        </is>
      </c>
      <c r="B2" s="4" t="inlineStr">
        <is>
          <t>Клиент</t>
        </is>
      </c>
      <c r="C2" s="4" t="inlineStr">
        <is>
          <t>Страна</t>
        </is>
      </c>
      <c r="D2" s="4" t="inlineStr">
        <is>
          <t>Тип контракта</t>
        </is>
      </c>
      <c r="E2" s="4" t="inlineStr">
        <is>
          <t>Сумма (USD)</t>
        </is>
      </c>
      <c r="F2" s="4" t="inlineStr">
        <is>
          <t>Дата подписания</t>
        </is>
      </c>
      <c r="G2" s="4" t="inlineStr">
        <is>
          <t>Срок действия</t>
        </is>
      </c>
      <c r="H2" s="4" t="inlineStr">
        <is>
          <t>Статус</t>
        </is>
      </c>
      <c r="I2" s="4" t="inlineStr">
        <is>
          <t>Ответственный менеджер</t>
        </is>
      </c>
    </row>
    <row r="3">
      <c r="A3" s="11" t="inlineStr">
        <is>
          <t>CTR-2024/001</t>
        </is>
      </c>
      <c r="B3" s="11" t="inlineStr">
        <is>
          <t>Shanghai Huawei Industrial Co., Ltd.</t>
        </is>
      </c>
      <c r="C3" s="11" t="inlineStr">
        <is>
          <t>Китай</t>
        </is>
      </c>
      <c r="D3" s="11" t="inlineStr">
        <is>
          <t>Поставка оборудования</t>
        </is>
      </c>
      <c r="E3" s="13" t="n">
        <v>580000</v>
      </c>
      <c r="F3" s="21" t="n">
        <v>45306</v>
      </c>
      <c r="G3" s="11" t="inlineStr">
        <is>
          <t>до 31.12.2025</t>
        </is>
      </c>
      <c r="H3" s="24" t="inlineStr">
        <is>
          <t>Действующий</t>
        </is>
      </c>
      <c r="I3" s="11" t="inlineStr">
        <is>
          <t>Ли Вэй</t>
        </is>
      </c>
    </row>
    <row r="4">
      <c r="A4" s="11" t="inlineStr">
        <is>
          <t>CTR-2024/002</t>
        </is>
      </c>
      <c r="B4" s="11" t="inlineStr">
        <is>
          <t>Mitsubishi Heavy Industries, Ltd.</t>
        </is>
      </c>
      <c r="C4" s="11" t="inlineStr">
        <is>
          <t>Япония</t>
        </is>
      </c>
      <c r="D4" s="11" t="inlineStr">
        <is>
          <t>Техническое сотрудничество</t>
        </is>
      </c>
      <c r="E4" s="13" t="n">
        <v>1250000</v>
      </c>
      <c r="F4" s="21" t="n">
        <v>45350</v>
      </c>
      <c r="G4" s="11" t="inlineStr">
        <is>
          <t>до 28.02.2027</t>
        </is>
      </c>
      <c r="H4" s="24" t="inlineStr">
        <is>
          <t>Действующий</t>
        </is>
      </c>
      <c r="I4" s="11" t="inlineStr">
        <is>
          <t>Танака Юки</t>
        </is>
      </c>
    </row>
    <row r="5">
      <c r="A5" s="11" t="inlineStr">
        <is>
          <t>CTR-2024/003</t>
        </is>
      </c>
      <c r="B5" s="11" t="inlineStr">
        <is>
          <t>Siemens Energy AG</t>
        </is>
      </c>
      <c r="C5" s="11" t="inlineStr">
        <is>
          <t>Германия</t>
        </is>
      </c>
      <c r="D5" s="11" t="inlineStr">
        <is>
          <t>Совместная разработка</t>
        </is>
      </c>
      <c r="E5" s="13" t="n">
        <v>890000</v>
      </c>
      <c r="F5" s="21" t="n">
        <v>45361</v>
      </c>
      <c r="G5" s="11" t="inlineStr">
        <is>
          <t>до 10.03.2026</t>
        </is>
      </c>
      <c r="H5" s="24" t="inlineStr">
        <is>
          <t>Действующий</t>
        </is>
      </c>
      <c r="I5" s="11" t="inlineStr">
        <is>
          <t>Мюллер Ганс</t>
        </is>
      </c>
    </row>
    <row r="6">
      <c r="A6" s="11" t="inlineStr">
        <is>
          <t>CTR-2024/004</t>
        </is>
      </c>
      <c r="B6" s="11" t="inlineStr">
        <is>
          <t>Казахстанская электротехническая компания ТОО</t>
        </is>
      </c>
      <c r="C6" s="11" t="inlineStr">
        <is>
          <t>Казахстан</t>
        </is>
      </c>
      <c r="D6" s="11" t="inlineStr">
        <is>
          <t>Поставка + монтаж</t>
        </is>
      </c>
      <c r="E6" s="13" t="n">
        <v>320000</v>
      </c>
      <c r="F6" s="21" t="n">
        <v>45387</v>
      </c>
      <c r="G6" s="11" t="inlineStr">
        <is>
          <t>до 05.04.2025</t>
        </is>
      </c>
      <c r="H6" s="25" t="inlineStr">
        <is>
          <t>Завершение работ</t>
        </is>
      </c>
      <c r="I6" s="11" t="inlineStr">
        <is>
          <t>Сидоров М.О.</t>
        </is>
      </c>
    </row>
    <row r="7">
      <c r="A7" s="11" t="inlineStr">
        <is>
          <t>CTR-2024/005</t>
        </is>
      </c>
      <c r="B7" s="11" t="inlineStr">
        <is>
          <t>PT. Pertamina (Persero)</t>
        </is>
      </c>
      <c r="C7" s="11" t="inlineStr">
        <is>
          <t>Индонезия</t>
        </is>
      </c>
      <c r="D7" s="11" t="inlineStr">
        <is>
          <t>Поставка запасных частей</t>
        </is>
      </c>
      <c r="E7" s="13" t="n">
        <v>175000</v>
      </c>
      <c r="F7" s="21" t="n">
        <v>45432</v>
      </c>
      <c r="G7" s="11" t="inlineStr">
        <is>
          <t>до 20.05.2025</t>
        </is>
      </c>
      <c r="H7" s="24" t="inlineStr">
        <is>
          <t>Действующий</t>
        </is>
      </c>
      <c r="I7" s="11" t="inlineStr">
        <is>
          <t>Сидоров М.О.</t>
        </is>
      </c>
    </row>
    <row r="8">
      <c r="A8" s="11" t="inlineStr">
        <is>
          <t>CTR-2024/006</t>
        </is>
      </c>
      <c r="B8" s="11" t="inlineStr">
        <is>
          <t>Samsung C&amp;T Corporation</t>
        </is>
      </c>
      <c r="C8" s="11" t="inlineStr">
        <is>
          <t>Южная Корея</t>
        </is>
      </c>
      <c r="D8" s="11" t="inlineStr">
        <is>
          <t>Поставка оборудования</t>
        </is>
      </c>
      <c r="E8" s="13" t="n">
        <v>445000</v>
      </c>
      <c r="F8" s="21" t="n">
        <v>45444</v>
      </c>
      <c r="G8" s="11" t="inlineStr">
        <is>
          <t>до 01.12.2025</t>
        </is>
      </c>
      <c r="H8" s="24" t="inlineStr">
        <is>
          <t>Действующий</t>
        </is>
      </c>
      <c r="I8" s="11" t="inlineStr">
        <is>
          <t>Ким Мин Хо</t>
        </is>
      </c>
    </row>
    <row r="9">
      <c r="A9" s="11" t="inlineStr">
        <is>
          <t>CTR-2024/007</t>
        </is>
      </c>
      <c r="B9" s="11" t="inlineStr">
        <is>
          <t>Eni S.p.A.</t>
        </is>
      </c>
      <c r="C9" s="11" t="inlineStr">
        <is>
          <t>Италия</t>
        </is>
      </c>
      <c r="D9" s="11" t="inlineStr">
        <is>
          <t>Консультационные услуги</t>
        </is>
      </c>
      <c r="E9" s="13" t="n">
        <v>210000</v>
      </c>
      <c r="F9" s="21" t="n">
        <v>45488</v>
      </c>
      <c r="G9" s="11" t="inlineStr">
        <is>
          <t>до 15.07.2025</t>
        </is>
      </c>
      <c r="H9" s="26" t="inlineStr">
        <is>
          <t>Приостановлен</t>
        </is>
      </c>
      <c r="I9" s="11" t="inlineStr">
        <is>
          <t>Мюллер Ганс</t>
        </is>
      </c>
    </row>
    <row r="10">
      <c r="A10" s="11" t="inlineStr">
        <is>
          <t>CTR-2023/045</t>
        </is>
      </c>
      <c r="B10" s="11" t="inlineStr">
        <is>
          <t>Газпром нефть ПАО</t>
        </is>
      </c>
      <c r="C10" s="11" t="inlineStr">
        <is>
          <t>Россия</t>
        </is>
      </c>
      <c r="D10" s="11" t="inlineStr">
        <is>
          <t>Годовое обслуживание</t>
        </is>
      </c>
      <c r="E10" s="13" t="n">
        <v>1800000</v>
      </c>
      <c r="F10" s="21" t="n">
        <v>45200</v>
      </c>
      <c r="G10" s="11" t="inlineStr">
        <is>
          <t>до 30.09.2025</t>
        </is>
      </c>
      <c r="H10" s="24" t="inlineStr">
        <is>
          <t>Действующий</t>
        </is>
      </c>
      <c r="I10" s="11" t="inlineStr">
        <is>
          <t>Петренко О.И.</t>
        </is>
      </c>
    </row>
    <row r="11">
      <c r="A11" s="11" t="inlineStr">
        <is>
          <t>CTR-2023/038</t>
        </is>
      </c>
      <c r="B11" s="11" t="inlineStr">
        <is>
          <t>Новатэк ПАО</t>
        </is>
      </c>
      <c r="C11" s="11" t="inlineStr">
        <is>
          <t>Россия</t>
        </is>
      </c>
      <c r="D11" s="11" t="inlineStr">
        <is>
          <t>Поставка SCADA-систем</t>
        </is>
      </c>
      <c r="E11" s="13" t="n">
        <v>2300000</v>
      </c>
      <c r="F11" s="21" t="n">
        <v>45150</v>
      </c>
      <c r="G11" s="11" t="inlineStr">
        <is>
          <t>до 12.08.2026</t>
        </is>
      </c>
      <c r="H11" s="24" t="inlineStr">
        <is>
          <t>Действующий</t>
        </is>
      </c>
      <c r="I11" s="11" t="inlineStr">
        <is>
          <t>Рахимова Д.Р.</t>
        </is>
      </c>
    </row>
    <row r="12">
      <c r="A12" s="11" t="inlineStr">
        <is>
          <t>CTR-2024/008</t>
        </is>
      </c>
      <c r="B12" s="11" t="inlineStr">
        <is>
          <t>Total Energies SE</t>
        </is>
      </c>
      <c r="C12" s="11" t="inlineStr">
        <is>
          <t>Франция</t>
        </is>
      </c>
      <c r="D12" s="11" t="inlineStr">
        <is>
          <t>Поставка КИПиА</t>
        </is>
      </c>
      <c r="E12" s="13" t="n">
        <v>670000</v>
      </c>
      <c r="F12" s="21" t="n">
        <v>45536</v>
      </c>
      <c r="G12" s="11" t="inlineStr">
        <is>
          <t>до 01.09.2026</t>
        </is>
      </c>
      <c r="H12" s="24" t="inlineStr">
        <is>
          <t>Действующий</t>
        </is>
      </c>
      <c r="I12" s="11" t="inlineStr">
        <is>
          <t>Абрамова Н.В.</t>
        </is>
      </c>
    </row>
    <row r="13">
      <c r="A13" s="15" t="inlineStr">
        <is>
          <t>ИТОГО</t>
        </is>
      </c>
      <c r="D13" s="15" t="inlineStr">
        <is>
          <t>Общая сумма контрактов:</t>
        </is>
      </c>
      <c r="E13" s="27">
        <f>SUM(E3:E12)</f>
        <v/>
      </c>
    </row>
    <row r="14">
      <c r="D14" s="15" t="inlineStr">
        <is>
          <t>Количество действующих:</t>
        </is>
      </c>
      <c r="E14" s="15">
        <f>COUNTIF(H3:H12,"Действующий")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6" customWidth="1" min="3" max="3"/>
    <col width="24" customWidth="1" min="4" max="4"/>
    <col width="55" customWidth="1" min="5" max="5"/>
  </cols>
  <sheetData>
    <row r="1">
      <c r="A1" s="10" t="inlineStr">
        <is>
          <t>Технический глоссарий — русско-английско-китайский</t>
        </is>
      </c>
    </row>
    <row r="2">
      <c r="A2" s="4" t="inlineStr">
        <is>
          <t>Код</t>
        </is>
      </c>
      <c r="B2" s="4" t="inlineStr">
        <is>
          <t>Термин (русский)</t>
        </is>
      </c>
      <c r="C2" s="4" t="inlineStr">
        <is>
          <t>English Term</t>
        </is>
      </c>
      <c r="D2" s="4" t="inlineStr">
        <is>
          <t>中文术语</t>
        </is>
      </c>
      <c r="E2" s="4" t="inlineStr">
        <is>
          <t>Определение / Примечание</t>
        </is>
      </c>
    </row>
    <row r="3">
      <c r="A3" s="11" t="inlineStr">
        <is>
          <t>T-001</t>
        </is>
      </c>
      <c r="B3" s="11" t="inlineStr">
        <is>
          <t>Программируемый логический контроллер (ПЛК)</t>
        </is>
      </c>
      <c r="C3" s="11" t="inlineStr">
        <is>
          <t>Programmable Logic Controller (PLC)</t>
        </is>
      </c>
      <c r="D3" s="28" t="inlineStr">
        <is>
          <t>可编程逻辑控制器（PLC）</t>
        </is>
      </c>
      <c r="E3" s="11" t="inlineStr">
        <is>
          <t>Цифровое электронное устройство для автоматизации технологических процессов</t>
        </is>
      </c>
    </row>
    <row r="4">
      <c r="A4" s="11" t="inlineStr">
        <is>
          <t>T-002</t>
        </is>
      </c>
      <c r="B4" s="11" t="inlineStr">
        <is>
          <t>Автоматизированная система управления технологическим процессом (АСУ ТП)</t>
        </is>
      </c>
      <c r="C4" s="11" t="inlineStr">
        <is>
          <t>Distributed Control System (DCS)</t>
        </is>
      </c>
      <c r="D4" s="28" t="inlineStr">
        <is>
          <t>分布式控制系统（DCS）</t>
        </is>
      </c>
      <c r="E4" s="11" t="inlineStr">
        <is>
          <t>Комплекс аппаратных и программных средств для управления производством</t>
        </is>
      </c>
    </row>
    <row r="5">
      <c r="A5" s="11" t="inlineStr">
        <is>
          <t>T-003</t>
        </is>
      </c>
      <c r="B5" s="11" t="inlineStr">
        <is>
          <t>Контрольно-измерительные приборы и автоматика (КИПиА)</t>
        </is>
      </c>
      <c r="C5" s="11" t="inlineStr">
        <is>
          <t>Instrumentation and Control (I&amp;C)</t>
        </is>
      </c>
      <c r="D5" s="28" t="inlineStr">
        <is>
          <t>仪表与控制（I&amp;C）</t>
        </is>
      </c>
      <c r="E5" s="11" t="inlineStr">
        <is>
          <t>Совокупность приборов для измерения, контроля и регулирования параметров</t>
        </is>
      </c>
    </row>
    <row r="6">
      <c r="A6" s="11" t="inlineStr">
        <is>
          <t>T-004</t>
        </is>
      </c>
      <c r="B6" s="11" t="inlineStr">
        <is>
          <t>Человеко-машинный интерфейс (ЧМИ)</t>
        </is>
      </c>
      <c r="C6" s="11" t="inlineStr">
        <is>
          <t>Human-Machine Interface (HMI)</t>
        </is>
      </c>
      <c r="D6" s="28" t="inlineStr">
        <is>
          <t>人机界面（HMI）</t>
        </is>
      </c>
      <c r="E6" s="11" t="inlineStr">
        <is>
          <t>Средства взаимодействия оператора с управляемым оборудованием</t>
        </is>
      </c>
    </row>
    <row r="7">
      <c r="A7" s="11" t="inlineStr">
        <is>
          <t>T-005</t>
        </is>
      </c>
      <c r="B7" s="11" t="inlineStr">
        <is>
          <t>Система диспетчерского управления и сбора данных (SCADA)</t>
        </is>
      </c>
      <c r="C7" s="11" t="inlineStr">
        <is>
          <t>Supervisory Control and Data Acquisition</t>
        </is>
      </c>
      <c r="D7" s="28" t="inlineStr">
        <is>
          <t>数据采集与监控系统（SCADA）</t>
        </is>
      </c>
      <c r="E7" s="11" t="inlineStr">
        <is>
          <t>Программный пакет для сбора данных в реальном времени с удалённых объектов</t>
        </is>
      </c>
    </row>
    <row r="8">
      <c r="A8" s="11" t="inlineStr">
        <is>
          <t>T-006</t>
        </is>
      </c>
      <c r="B8" s="11" t="inlineStr">
        <is>
          <t>Источник бесперебойного питания (ИБП)</t>
        </is>
      </c>
      <c r="C8" s="11" t="inlineStr">
        <is>
          <t>Uninterruptible Power Supply (UPS)</t>
        </is>
      </c>
      <c r="D8" s="28" t="inlineStr">
        <is>
          <t>不间断电源（UPS）</t>
        </is>
      </c>
      <c r="E8" s="11" t="inlineStr">
        <is>
          <t>Устройство для обеспечения электропитания нагрузки при отключении сети</t>
        </is>
      </c>
    </row>
    <row r="9">
      <c r="A9" s="11" t="inlineStr">
        <is>
          <t>T-007</t>
        </is>
      </c>
      <c r="B9" s="11" t="inlineStr">
        <is>
          <t>Частотно-регулируемый привод (ЧРП)</t>
        </is>
      </c>
      <c r="C9" s="11" t="inlineStr">
        <is>
          <t>Variable Frequency Drive (VFD)</t>
        </is>
      </c>
      <c r="D9" s="28" t="inlineStr">
        <is>
          <t>变频驱动器（VFD）</t>
        </is>
      </c>
      <c r="E9" s="11" t="inlineStr">
        <is>
          <t>Электронное устройство для управления скоростью вращения электродвигателя</t>
        </is>
      </c>
    </row>
    <row r="10">
      <c r="A10" s="11" t="inlineStr">
        <is>
          <t>T-008</t>
        </is>
      </c>
      <c r="B10" s="11" t="inlineStr">
        <is>
          <t>Протокол промышленной связи Modbus</t>
        </is>
      </c>
      <c r="C10" s="11" t="inlineStr">
        <is>
          <t>Modbus Industrial Communication Protocol</t>
        </is>
      </c>
      <c r="D10" s="28" t="inlineStr">
        <is>
          <t>Modbus工业通信协议</t>
        </is>
      </c>
      <c r="E10" s="11" t="inlineStr">
        <is>
          <t>Открытый протокол обмена данными, стандарт де-факто для АСУ ТП</t>
        </is>
      </c>
    </row>
    <row r="11">
      <c r="A11" s="11" t="inlineStr">
        <is>
          <t>T-009</t>
        </is>
      </c>
      <c r="B11" s="11" t="inlineStr">
        <is>
          <t>Взрывозащищённое электрооборудование</t>
        </is>
      </c>
      <c r="C11" s="11" t="inlineStr">
        <is>
          <t>Explosion-proof Electrical Equipment</t>
        </is>
      </c>
      <c r="D11" s="28" t="inlineStr">
        <is>
          <t>防爆电气设备</t>
        </is>
      </c>
      <c r="E11" s="11" t="inlineStr">
        <is>
          <t>Оборудование, спроектированное для безопасной работы во взрывоопасных зонах</t>
        </is>
      </c>
    </row>
    <row r="12">
      <c r="A12" s="11" t="inlineStr">
        <is>
          <t>T-010</t>
        </is>
      </c>
      <c r="B12" s="11" t="inlineStr">
        <is>
          <t>Международные стандарты финансовой отчётности (МСФО)</t>
        </is>
      </c>
      <c r="C12" s="11" t="inlineStr">
        <is>
          <t>International Financial Reporting Standards (IFRS)</t>
        </is>
      </c>
      <c r="D12" s="28" t="inlineStr">
        <is>
          <t>国际财务报告准则（IFRS）</t>
        </is>
      </c>
      <c r="E12" s="11" t="inlineStr">
        <is>
          <t>Набор стандартов бухгалтерского учёта, разработанных Советом по МСФО</t>
        </is>
      </c>
    </row>
    <row r="13">
      <c r="A13" s="11" t="inlineStr">
        <is>
          <t>T-011</t>
        </is>
      </c>
      <c r="B13" s="11" t="inlineStr">
        <is>
          <t>Коэффициент полезного действия (КПД)</t>
        </is>
      </c>
      <c r="C13" s="11" t="inlineStr">
        <is>
          <t>Efficiency (η)</t>
        </is>
      </c>
      <c r="D13" s="28" t="inlineStr">
        <is>
          <t>效率（η）</t>
        </is>
      </c>
      <c r="E13" s="11" t="inlineStr">
        <is>
          <t>Отношение полезно использованной энергии к суммарной затраченной энергии</t>
        </is>
      </c>
    </row>
    <row r="14">
      <c r="A14" s="11" t="inlineStr">
        <is>
          <t>T-012</t>
        </is>
      </c>
      <c r="B14" s="11" t="inlineStr">
        <is>
          <t>Электромагнитная совместимость (ЭМС)</t>
        </is>
      </c>
      <c r="C14" s="11" t="inlineStr">
        <is>
          <t>Electromagnetic Compatibility (EMC)</t>
        </is>
      </c>
      <c r="D14" s="28" t="inlineStr">
        <is>
          <t>电磁兼容性（EMC）</t>
        </is>
      </c>
      <c r="E14" s="11" t="inlineStr">
        <is>
          <t>Способность оборудования функционировать без создания помех другим устройствам</t>
        </is>
      </c>
    </row>
    <row r="15">
      <c r="A15" s="11" t="inlineStr">
        <is>
          <t>T-013</t>
        </is>
      </c>
      <c r="B15" s="11" t="inlineStr">
        <is>
          <t>Система менеджмента качества (СМК)</t>
        </is>
      </c>
      <c r="C15" s="11" t="inlineStr">
        <is>
          <t>Quality Management System (QMS)</t>
        </is>
      </c>
      <c r="D15" s="28" t="inlineStr">
        <is>
          <t>质量管理体系（QMS）</t>
        </is>
      </c>
      <c r="E15" s="11" t="inlineStr">
        <is>
          <t>Совокупность организационной структуры, процедур и ресурсов для управления качеством</t>
        </is>
      </c>
    </row>
    <row r="16">
      <c r="A16" s="11" t="inlineStr">
        <is>
          <t>T-014</t>
        </is>
      </c>
      <c r="B16" s="11" t="inlineStr">
        <is>
          <t>Техническое задание (ТЗ)</t>
        </is>
      </c>
      <c r="C16" s="11" t="inlineStr">
        <is>
          <t>Terms of Reference (ToR) / Technical Specification</t>
        </is>
      </c>
      <c r="D16" s="28" t="inlineStr">
        <is>
          <t>技术规格书</t>
        </is>
      </c>
      <c r="E16" s="11" t="inlineStr">
        <is>
          <t>Документ, устанавливающий основные технические требования к продукции или работе</t>
        </is>
      </c>
    </row>
    <row r="17">
      <c r="A17" s="11" t="inlineStr">
        <is>
          <t>T-015</t>
        </is>
      </c>
      <c r="B17" s="11" t="inlineStr">
        <is>
          <t>Пусконаладочные работы (ПНР)</t>
        </is>
      </c>
      <c r="C17" s="11" t="inlineStr">
        <is>
          <t>Commissioning</t>
        </is>
      </c>
      <c r="D17" s="28" t="inlineStr">
        <is>
          <t>调试（试运行）</t>
        </is>
      </c>
      <c r="E17" s="11" t="inlineStr">
        <is>
          <t>Комплекс работ по проверке, настройке и вводу в эксплуатацию оборудования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2026-03-04T07:28:23Z</dcterms:created>
  <dcterms:modified xmlns:dcterms="http://purl.org/dc/terms/" xmlns:xsi="http://www.w3.org/2001/XMLSchema-instance" xsi:type="dcterms:W3CDTF">2026-03-04T07:28:23Z</dcterms:modified>
</cp:coreProperties>
</file>